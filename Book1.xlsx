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52812767E\Documents\DB\"/>
    </mc:Choice>
  </mc:AlternateContent>
  <xr:revisionPtr revIDLastSave="0" documentId="13_ncr:1_{1A6CDF6F-D38E-4EBC-907F-D9539DD7B7AD}" xr6:coauthVersionLast="47" xr6:coauthVersionMax="47" xr10:uidLastSave="{00000000-0000-0000-0000-000000000000}"/>
  <bookViews>
    <workbookView xWindow="3340" yWindow="3810" windowWidth="28800" windowHeight="15260" activeTab="2" xr2:uid="{B8FED68E-CA8B-4D97-BB65-E97E6EFC636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2" l="1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I13" i="1"/>
  <c r="I14" i="1"/>
  <c r="I25" i="1"/>
  <c r="I26" i="1"/>
  <c r="I37" i="1"/>
  <c r="I38" i="1"/>
  <c r="I49" i="1"/>
  <c r="I50" i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F14" i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F26" i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F38" i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F50" i="1"/>
  <c r="F51" i="1"/>
  <c r="I51" i="1" s="1"/>
  <c r="F52" i="1"/>
  <c r="I52" i="1" s="1"/>
  <c r="F2" i="1"/>
  <c r="I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2" i="1"/>
</calcChain>
</file>

<file path=xl/sharedStrings.xml><?xml version="1.0" encoding="utf-8"?>
<sst xmlns="http://schemas.openxmlformats.org/spreadsheetml/2006/main" count="202" uniqueCount="42">
  <si>
    <t>Diff</t>
  </si>
  <si>
    <t>lambda</t>
  </si>
  <si>
    <t>team1</t>
  </si>
  <si>
    <t>team2</t>
  </si>
  <si>
    <t>E1</t>
  </si>
  <si>
    <t>E2</t>
  </si>
  <si>
    <t>M1</t>
  </si>
  <si>
    <t>M2</t>
  </si>
  <si>
    <t>S1</t>
  </si>
  <si>
    <t>S2</t>
  </si>
  <si>
    <t>W1</t>
  </si>
  <si>
    <t>W2</t>
  </si>
  <si>
    <t>E3</t>
  </si>
  <si>
    <t>M3</t>
  </si>
  <si>
    <t>S3</t>
  </si>
  <si>
    <t>W3</t>
  </si>
  <si>
    <t>E4</t>
  </si>
  <si>
    <t>M4</t>
  </si>
  <si>
    <t>S4</t>
  </si>
  <si>
    <t>W4</t>
  </si>
  <si>
    <t>E5</t>
  </si>
  <si>
    <t>M5</t>
  </si>
  <si>
    <t>S5</t>
  </si>
  <si>
    <t>W5</t>
  </si>
  <si>
    <t>E6</t>
  </si>
  <si>
    <t>M6</t>
  </si>
  <si>
    <t>S6</t>
  </si>
  <si>
    <t>W6</t>
  </si>
  <si>
    <t>E7</t>
  </si>
  <si>
    <t>M7</t>
  </si>
  <si>
    <t>S7</t>
  </si>
  <si>
    <t>W7</t>
  </si>
  <si>
    <t>E8</t>
  </si>
  <si>
    <t>M8</t>
  </si>
  <si>
    <t>S8</t>
  </si>
  <si>
    <t>W8</t>
  </si>
  <si>
    <t>GP</t>
  </si>
  <si>
    <t>Aim</t>
  </si>
  <si>
    <t>Speed</t>
  </si>
  <si>
    <t>Throw</t>
  </si>
  <si>
    <t>Hands</t>
  </si>
  <si>
    <t>&lt;-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</si>
</sst>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CC22-DCDB-461B-AD5F-4AA825630E39}">
  <dimension ref="C1:I52"/>
  <sheetViews>
    <sheetView workbookViewId="0">
      <selection activeCell="H2" sqref="H2"/>
    </sheetView>
  </sheetViews>
  <sheetFormatPr defaultRowHeight="14.5" x14ac:dyDescent="0.35"/>
  <cols>
    <col min="8" max="8" width="11.81640625" bestFit="1" customWidth="1"/>
  </cols>
  <sheetData>
    <row r="1" spans="3:9" x14ac:dyDescent="0.35">
      <c r="C1" t="s">
        <v>1</v>
      </c>
      <c r="E1" t="s">
        <v>2</v>
      </c>
      <c r="F1" t="s">
        <v>3</v>
      </c>
      <c r="G1" t="s">
        <v>0</v>
      </c>
    </row>
    <row r="2" spans="3:9" x14ac:dyDescent="0.35">
      <c r="C2">
        <v>4.0000000000000001E-3</v>
      </c>
      <c r="E2">
        <v>75</v>
      </c>
      <c r="F2">
        <f>E2-G2</f>
        <v>125</v>
      </c>
      <c r="G2">
        <v>-50</v>
      </c>
      <c r="H2">
        <f>1/(1+EXP(-1*G2*$C$2))</f>
        <v>0.45016600268752216</v>
      </c>
      <c r="I2">
        <f>E2/(E2+F2)</f>
        <v>0.375</v>
      </c>
    </row>
    <row r="3" spans="3:9" x14ac:dyDescent="0.35">
      <c r="E3">
        <v>75</v>
      </c>
      <c r="F3">
        <f t="shared" ref="F3:F52" si="0">E3-G3</f>
        <v>123</v>
      </c>
      <c r="G3">
        <v>-48</v>
      </c>
      <c r="H3">
        <f t="shared" ref="H3:H52" si="1">1/(1+EXP(-1*G3*$C$2))</f>
        <v>0.45214691443837252</v>
      </c>
      <c r="I3">
        <f t="shared" ref="I3:I52" si="2">E3/(E3+F3)</f>
        <v>0.37878787878787878</v>
      </c>
    </row>
    <row r="4" spans="3:9" x14ac:dyDescent="0.35">
      <c r="E4">
        <v>75</v>
      </c>
      <c r="F4">
        <f t="shared" si="0"/>
        <v>121</v>
      </c>
      <c r="G4">
        <v>-46</v>
      </c>
      <c r="H4">
        <f t="shared" si="1"/>
        <v>0.45412934344580619</v>
      </c>
      <c r="I4">
        <f t="shared" si="2"/>
        <v>0.38265306122448978</v>
      </c>
    </row>
    <row r="5" spans="3:9" x14ac:dyDescent="0.35">
      <c r="E5">
        <v>75</v>
      </c>
      <c r="F5">
        <f t="shared" si="0"/>
        <v>119</v>
      </c>
      <c r="G5">
        <v>-44</v>
      </c>
      <c r="H5">
        <f t="shared" si="1"/>
        <v>0.45611322794471448</v>
      </c>
      <c r="I5">
        <f t="shared" si="2"/>
        <v>0.38659793814432991</v>
      </c>
    </row>
    <row r="6" spans="3:9" x14ac:dyDescent="0.35">
      <c r="E6">
        <v>75</v>
      </c>
      <c r="F6">
        <f t="shared" si="0"/>
        <v>117</v>
      </c>
      <c r="G6">
        <v>-42</v>
      </c>
      <c r="H6">
        <f t="shared" si="1"/>
        <v>0.45809850598604368</v>
      </c>
      <c r="I6">
        <f t="shared" si="2"/>
        <v>0.390625</v>
      </c>
    </row>
    <row r="7" spans="3:9" x14ac:dyDescent="0.35">
      <c r="E7">
        <v>75</v>
      </c>
      <c r="F7">
        <f t="shared" si="0"/>
        <v>115</v>
      </c>
      <c r="G7">
        <v>-40</v>
      </c>
      <c r="H7">
        <f t="shared" si="1"/>
        <v>0.46008511544443426</v>
      </c>
      <c r="I7">
        <f t="shared" si="2"/>
        <v>0.39473684210526316</v>
      </c>
    </row>
    <row r="8" spans="3:9" x14ac:dyDescent="0.35">
      <c r="E8">
        <v>75</v>
      </c>
      <c r="F8">
        <f t="shared" si="0"/>
        <v>113</v>
      </c>
      <c r="G8">
        <v>-38</v>
      </c>
      <c r="H8">
        <f t="shared" si="1"/>
        <v>0.46207299402590657</v>
      </c>
      <c r="I8">
        <f t="shared" si="2"/>
        <v>0.39893617021276595</v>
      </c>
    </row>
    <row r="9" spans="3:9" x14ac:dyDescent="0.35">
      <c r="E9">
        <v>75</v>
      </c>
      <c r="F9">
        <f t="shared" si="0"/>
        <v>111</v>
      </c>
      <c r="G9">
        <v>-36</v>
      </c>
      <c r="H9">
        <f t="shared" si="1"/>
        <v>0.46406207927559118</v>
      </c>
      <c r="I9">
        <f t="shared" si="2"/>
        <v>0.40322580645161288</v>
      </c>
    </row>
    <row r="10" spans="3:9" x14ac:dyDescent="0.35">
      <c r="E10">
        <v>75</v>
      </c>
      <c r="F10">
        <f t="shared" si="0"/>
        <v>109</v>
      </c>
      <c r="G10">
        <v>-34</v>
      </c>
      <c r="H10">
        <f t="shared" si="1"/>
        <v>0.46605230858550351</v>
      </c>
      <c r="I10">
        <f t="shared" si="2"/>
        <v>0.40760869565217389</v>
      </c>
    </row>
    <row r="11" spans="3:9" x14ac:dyDescent="0.35">
      <c r="E11">
        <v>75</v>
      </c>
      <c r="F11">
        <f t="shared" si="0"/>
        <v>107</v>
      </c>
      <c r="G11">
        <v>-32</v>
      </c>
      <c r="H11">
        <f t="shared" si="1"/>
        <v>0.46804361920235915</v>
      </c>
      <c r="I11">
        <f t="shared" si="2"/>
        <v>0.41208791208791207</v>
      </c>
    </row>
    <row r="12" spans="3:9" x14ac:dyDescent="0.35">
      <c r="E12">
        <v>75</v>
      </c>
      <c r="F12">
        <f t="shared" si="0"/>
        <v>105</v>
      </c>
      <c r="G12">
        <v>-30</v>
      </c>
      <c r="H12">
        <f t="shared" si="1"/>
        <v>0.47003594823542821</v>
      </c>
      <c r="I12">
        <f t="shared" si="2"/>
        <v>0.41666666666666669</v>
      </c>
    </row>
    <row r="13" spans="3:9" x14ac:dyDescent="0.35">
      <c r="E13">
        <v>75</v>
      </c>
      <c r="F13">
        <f t="shared" si="0"/>
        <v>103</v>
      </c>
      <c r="G13">
        <v>-28</v>
      </c>
      <c r="H13">
        <f t="shared" si="1"/>
        <v>0.47202923266442665</v>
      </c>
      <c r="I13">
        <f t="shared" si="2"/>
        <v>0.42134831460674155</v>
      </c>
    </row>
    <row r="14" spans="3:9" x14ac:dyDescent="0.35">
      <c r="E14">
        <v>75</v>
      </c>
      <c r="F14">
        <f t="shared" si="0"/>
        <v>101</v>
      </c>
      <c r="G14">
        <v>-26</v>
      </c>
      <c r="H14">
        <f t="shared" si="1"/>
        <v>0.47402340934744247</v>
      </c>
      <c r="I14">
        <f t="shared" si="2"/>
        <v>0.42613636363636365</v>
      </c>
    </row>
    <row r="15" spans="3:9" x14ac:dyDescent="0.35">
      <c r="E15">
        <v>75</v>
      </c>
      <c r="F15">
        <f t="shared" si="0"/>
        <v>99</v>
      </c>
      <c r="G15">
        <v>-24</v>
      </c>
      <c r="H15">
        <f t="shared" si="1"/>
        <v>0.47601841502889553</v>
      </c>
      <c r="I15">
        <f t="shared" si="2"/>
        <v>0.43103448275862066</v>
      </c>
    </row>
    <row r="16" spans="3:9" x14ac:dyDescent="0.35">
      <c r="E16">
        <v>75</v>
      </c>
      <c r="F16">
        <f t="shared" si="0"/>
        <v>97</v>
      </c>
      <c r="G16">
        <v>-22</v>
      </c>
      <c r="H16">
        <f t="shared" si="1"/>
        <v>0.47801418634752707</v>
      </c>
      <c r="I16">
        <f t="shared" si="2"/>
        <v>0.43604651162790697</v>
      </c>
    </row>
    <row r="17" spans="5:9" x14ac:dyDescent="0.35">
      <c r="E17">
        <v>75</v>
      </c>
      <c r="F17">
        <f t="shared" si="0"/>
        <v>95</v>
      </c>
      <c r="G17">
        <v>-20</v>
      </c>
      <c r="H17">
        <f t="shared" si="1"/>
        <v>0.48001065984441826</v>
      </c>
      <c r="I17">
        <f t="shared" si="2"/>
        <v>0.44117647058823528</v>
      </c>
    </row>
    <row r="18" spans="5:9" x14ac:dyDescent="0.35">
      <c r="E18">
        <v>75</v>
      </c>
      <c r="F18">
        <f t="shared" si="0"/>
        <v>93</v>
      </c>
      <c r="G18">
        <v>-18</v>
      </c>
      <c r="H18">
        <f t="shared" si="1"/>
        <v>0.48200777197103506</v>
      </c>
      <c r="I18">
        <f t="shared" si="2"/>
        <v>0.44642857142857145</v>
      </c>
    </row>
    <row r="19" spans="5:9" x14ac:dyDescent="0.35">
      <c r="E19">
        <v>75</v>
      </c>
      <c r="F19">
        <f t="shared" si="0"/>
        <v>91</v>
      </c>
      <c r="G19">
        <v>-16</v>
      </c>
      <c r="H19">
        <f t="shared" si="1"/>
        <v>0.48400545909729803</v>
      </c>
      <c r="I19">
        <f t="shared" si="2"/>
        <v>0.45180722891566266</v>
      </c>
    </row>
    <row r="20" spans="5:9" x14ac:dyDescent="0.35">
      <c r="E20">
        <v>75</v>
      </c>
      <c r="F20">
        <f t="shared" si="0"/>
        <v>89</v>
      </c>
      <c r="G20">
        <v>-14</v>
      </c>
      <c r="H20">
        <f t="shared" si="1"/>
        <v>0.48600365751967278</v>
      </c>
      <c r="I20">
        <f t="shared" si="2"/>
        <v>0.45731707317073172</v>
      </c>
    </row>
    <row r="21" spans="5:9" x14ac:dyDescent="0.35">
      <c r="E21">
        <v>75</v>
      </c>
      <c r="F21">
        <f t="shared" si="0"/>
        <v>87</v>
      </c>
      <c r="G21">
        <v>-12</v>
      </c>
      <c r="H21">
        <f t="shared" si="1"/>
        <v>0.48800230346928214</v>
      </c>
      <c r="I21">
        <f t="shared" si="2"/>
        <v>0.46296296296296297</v>
      </c>
    </row>
    <row r="22" spans="5:9" x14ac:dyDescent="0.35">
      <c r="E22">
        <v>75</v>
      </c>
      <c r="F22">
        <f t="shared" si="0"/>
        <v>85</v>
      </c>
      <c r="G22">
        <v>-10</v>
      </c>
      <c r="H22">
        <f t="shared" si="1"/>
        <v>0.49000133312003458</v>
      </c>
      <c r="I22">
        <f t="shared" si="2"/>
        <v>0.46875</v>
      </c>
    </row>
    <row r="23" spans="5:9" x14ac:dyDescent="0.35">
      <c r="E23">
        <v>75</v>
      </c>
      <c r="F23">
        <f t="shared" si="0"/>
        <v>83</v>
      </c>
      <c r="G23">
        <v>-8</v>
      </c>
      <c r="H23">
        <f t="shared" si="1"/>
        <v>0.49200068259676893</v>
      </c>
      <c r="I23">
        <f t="shared" si="2"/>
        <v>0.47468354430379744</v>
      </c>
    </row>
    <row r="24" spans="5:9" x14ac:dyDescent="0.35">
      <c r="E24">
        <v>75</v>
      </c>
      <c r="F24">
        <f t="shared" si="0"/>
        <v>81</v>
      </c>
      <c r="G24">
        <v>-6</v>
      </c>
      <c r="H24">
        <f t="shared" si="1"/>
        <v>0.49400028798341217</v>
      </c>
      <c r="I24">
        <f t="shared" si="2"/>
        <v>0.48076923076923078</v>
      </c>
    </row>
    <row r="25" spans="5:9" x14ac:dyDescent="0.35">
      <c r="E25">
        <v>75</v>
      </c>
      <c r="F25">
        <f t="shared" si="0"/>
        <v>79</v>
      </c>
      <c r="G25">
        <v>-4</v>
      </c>
      <c r="H25">
        <f t="shared" si="1"/>
        <v>0.49600008533114887</v>
      </c>
      <c r="I25">
        <f t="shared" si="2"/>
        <v>0.48701298701298701</v>
      </c>
    </row>
    <row r="26" spans="5:9" x14ac:dyDescent="0.35">
      <c r="E26">
        <v>75</v>
      </c>
      <c r="F26">
        <f t="shared" si="0"/>
        <v>77</v>
      </c>
      <c r="G26">
        <v>-2</v>
      </c>
      <c r="H26">
        <f t="shared" si="1"/>
        <v>0.49800001066659838</v>
      </c>
      <c r="I26">
        <f t="shared" si="2"/>
        <v>0.49342105263157893</v>
      </c>
    </row>
    <row r="27" spans="5:9" x14ac:dyDescent="0.35">
      <c r="E27">
        <v>75</v>
      </c>
      <c r="F27">
        <f t="shared" si="0"/>
        <v>75</v>
      </c>
      <c r="G27">
        <v>0</v>
      </c>
      <c r="H27">
        <f t="shared" si="1"/>
        <v>0.5</v>
      </c>
      <c r="I27">
        <f t="shared" si="2"/>
        <v>0.5</v>
      </c>
    </row>
    <row r="28" spans="5:9" x14ac:dyDescent="0.35">
      <c r="E28">
        <v>75</v>
      </c>
      <c r="F28">
        <f t="shared" si="0"/>
        <v>73</v>
      </c>
      <c r="G28">
        <v>2</v>
      </c>
      <c r="H28">
        <f t="shared" si="1"/>
        <v>0.50199998933340162</v>
      </c>
      <c r="I28">
        <f t="shared" si="2"/>
        <v>0.5067567567567568</v>
      </c>
    </row>
    <row r="29" spans="5:9" x14ac:dyDescent="0.35">
      <c r="E29">
        <v>75</v>
      </c>
      <c r="F29">
        <f t="shared" si="0"/>
        <v>71</v>
      </c>
      <c r="G29">
        <v>4</v>
      </c>
      <c r="H29">
        <f t="shared" si="1"/>
        <v>0.50399991466885119</v>
      </c>
      <c r="I29">
        <f t="shared" si="2"/>
        <v>0.51369863013698636</v>
      </c>
    </row>
    <row r="30" spans="5:9" x14ac:dyDescent="0.35">
      <c r="E30">
        <v>75</v>
      </c>
      <c r="F30">
        <f t="shared" si="0"/>
        <v>69</v>
      </c>
      <c r="G30">
        <v>6</v>
      </c>
      <c r="H30">
        <f t="shared" si="1"/>
        <v>0.50599971201658789</v>
      </c>
      <c r="I30">
        <f t="shared" si="2"/>
        <v>0.52083333333333337</v>
      </c>
    </row>
    <row r="31" spans="5:9" x14ac:dyDescent="0.35">
      <c r="E31">
        <v>75</v>
      </c>
      <c r="F31">
        <f t="shared" si="0"/>
        <v>67</v>
      </c>
      <c r="G31">
        <v>8</v>
      </c>
      <c r="H31">
        <f t="shared" si="1"/>
        <v>0.50799931740323112</v>
      </c>
      <c r="I31">
        <f t="shared" si="2"/>
        <v>0.528169014084507</v>
      </c>
    </row>
    <row r="32" spans="5:9" x14ac:dyDescent="0.35">
      <c r="E32">
        <v>75</v>
      </c>
      <c r="F32">
        <f t="shared" si="0"/>
        <v>65</v>
      </c>
      <c r="G32">
        <v>10</v>
      </c>
      <c r="H32">
        <f t="shared" si="1"/>
        <v>0.50999866687996553</v>
      </c>
      <c r="I32">
        <f t="shared" si="2"/>
        <v>0.5357142857142857</v>
      </c>
    </row>
    <row r="33" spans="5:9" x14ac:dyDescent="0.35">
      <c r="E33">
        <v>75</v>
      </c>
      <c r="F33">
        <f t="shared" si="0"/>
        <v>63</v>
      </c>
      <c r="G33">
        <v>12</v>
      </c>
      <c r="H33">
        <f t="shared" si="1"/>
        <v>0.51199769653071792</v>
      </c>
      <c r="I33">
        <f t="shared" si="2"/>
        <v>0.54347826086956519</v>
      </c>
    </row>
    <row r="34" spans="5:9" x14ac:dyDescent="0.35">
      <c r="E34">
        <v>75</v>
      </c>
      <c r="F34">
        <f t="shared" si="0"/>
        <v>61</v>
      </c>
      <c r="G34">
        <v>14</v>
      </c>
      <c r="H34">
        <f t="shared" si="1"/>
        <v>0.51399634248032722</v>
      </c>
      <c r="I34">
        <f t="shared" si="2"/>
        <v>0.55147058823529416</v>
      </c>
    </row>
    <row r="35" spans="5:9" x14ac:dyDescent="0.35">
      <c r="E35">
        <v>75</v>
      </c>
      <c r="F35">
        <f t="shared" si="0"/>
        <v>59</v>
      </c>
      <c r="G35">
        <v>16</v>
      </c>
      <c r="H35">
        <f t="shared" si="1"/>
        <v>0.51599454090270203</v>
      </c>
      <c r="I35">
        <f t="shared" si="2"/>
        <v>0.55970149253731338</v>
      </c>
    </row>
    <row r="36" spans="5:9" x14ac:dyDescent="0.35">
      <c r="E36">
        <v>75</v>
      </c>
      <c r="F36">
        <f t="shared" si="0"/>
        <v>57</v>
      </c>
      <c r="G36">
        <v>18</v>
      </c>
      <c r="H36">
        <f t="shared" si="1"/>
        <v>0.51799222802896494</v>
      </c>
      <c r="I36">
        <f t="shared" si="2"/>
        <v>0.56818181818181823</v>
      </c>
    </row>
    <row r="37" spans="5:9" x14ac:dyDescent="0.35">
      <c r="E37">
        <v>75</v>
      </c>
      <c r="F37">
        <f t="shared" si="0"/>
        <v>55</v>
      </c>
      <c r="G37">
        <v>20</v>
      </c>
      <c r="H37">
        <f t="shared" si="1"/>
        <v>0.51998934015558185</v>
      </c>
      <c r="I37">
        <f t="shared" si="2"/>
        <v>0.57692307692307687</v>
      </c>
    </row>
    <row r="38" spans="5:9" x14ac:dyDescent="0.35">
      <c r="E38">
        <v>75</v>
      </c>
      <c r="F38">
        <f t="shared" si="0"/>
        <v>53</v>
      </c>
      <c r="G38">
        <v>22</v>
      </c>
      <c r="H38">
        <f t="shared" si="1"/>
        <v>0.52198581365247287</v>
      </c>
      <c r="I38">
        <f t="shared" si="2"/>
        <v>0.5859375</v>
      </c>
    </row>
    <row r="39" spans="5:9" x14ac:dyDescent="0.35">
      <c r="E39">
        <v>75</v>
      </c>
      <c r="F39">
        <f t="shared" si="0"/>
        <v>51</v>
      </c>
      <c r="G39">
        <v>24</v>
      </c>
      <c r="H39">
        <f t="shared" si="1"/>
        <v>0.52398158497110436</v>
      </c>
      <c r="I39">
        <f t="shared" si="2"/>
        <v>0.59523809523809523</v>
      </c>
    </row>
    <row r="40" spans="5:9" x14ac:dyDescent="0.35">
      <c r="E40">
        <v>75</v>
      </c>
      <c r="F40">
        <f t="shared" si="0"/>
        <v>49</v>
      </c>
      <c r="G40">
        <v>26</v>
      </c>
      <c r="H40">
        <f t="shared" si="1"/>
        <v>0.52597659065255753</v>
      </c>
      <c r="I40">
        <f t="shared" si="2"/>
        <v>0.60483870967741937</v>
      </c>
    </row>
    <row r="41" spans="5:9" x14ac:dyDescent="0.35">
      <c r="E41">
        <v>75</v>
      </c>
      <c r="F41">
        <f t="shared" si="0"/>
        <v>47</v>
      </c>
      <c r="G41">
        <v>28</v>
      </c>
      <c r="H41">
        <f t="shared" si="1"/>
        <v>0.52797076733557347</v>
      </c>
      <c r="I41">
        <f t="shared" si="2"/>
        <v>0.61475409836065575</v>
      </c>
    </row>
    <row r="42" spans="5:9" x14ac:dyDescent="0.35">
      <c r="E42">
        <v>75</v>
      </c>
      <c r="F42">
        <f t="shared" si="0"/>
        <v>45</v>
      </c>
      <c r="G42">
        <v>30</v>
      </c>
      <c r="H42">
        <f t="shared" si="1"/>
        <v>0.52996405176457173</v>
      </c>
      <c r="I42">
        <f t="shared" si="2"/>
        <v>0.625</v>
      </c>
    </row>
    <row r="43" spans="5:9" x14ac:dyDescent="0.35">
      <c r="E43">
        <v>75</v>
      </c>
      <c r="F43">
        <f t="shared" si="0"/>
        <v>43</v>
      </c>
      <c r="G43">
        <v>32</v>
      </c>
      <c r="H43">
        <f t="shared" si="1"/>
        <v>0.53195638079764074</v>
      </c>
      <c r="I43">
        <f t="shared" si="2"/>
        <v>0.63559322033898302</v>
      </c>
    </row>
    <row r="44" spans="5:9" x14ac:dyDescent="0.35">
      <c r="E44">
        <v>75</v>
      </c>
      <c r="F44">
        <f t="shared" si="0"/>
        <v>41</v>
      </c>
      <c r="G44">
        <v>34</v>
      </c>
      <c r="H44">
        <f t="shared" si="1"/>
        <v>0.53394769141449649</v>
      </c>
      <c r="I44">
        <f t="shared" si="2"/>
        <v>0.64655172413793105</v>
      </c>
    </row>
    <row r="45" spans="5:9" x14ac:dyDescent="0.35">
      <c r="E45">
        <v>75</v>
      </c>
      <c r="F45">
        <f t="shared" si="0"/>
        <v>39</v>
      </c>
      <c r="G45">
        <v>36</v>
      </c>
      <c r="H45">
        <f t="shared" si="1"/>
        <v>0.53593792072440882</v>
      </c>
      <c r="I45">
        <f t="shared" si="2"/>
        <v>0.65789473684210531</v>
      </c>
    </row>
    <row r="46" spans="5:9" x14ac:dyDescent="0.35">
      <c r="E46">
        <v>75</v>
      </c>
      <c r="F46">
        <f t="shared" si="0"/>
        <v>37</v>
      </c>
      <c r="G46">
        <v>38</v>
      </c>
      <c r="H46">
        <f t="shared" si="1"/>
        <v>0.53792700597409349</v>
      </c>
      <c r="I46">
        <f t="shared" si="2"/>
        <v>0.6696428571428571</v>
      </c>
    </row>
    <row r="47" spans="5:9" x14ac:dyDescent="0.35">
      <c r="E47">
        <v>75</v>
      </c>
      <c r="F47">
        <f t="shared" si="0"/>
        <v>35</v>
      </c>
      <c r="G47">
        <v>40</v>
      </c>
      <c r="H47">
        <f t="shared" si="1"/>
        <v>0.53991488455556569</v>
      </c>
      <c r="I47">
        <f t="shared" si="2"/>
        <v>0.68181818181818177</v>
      </c>
    </row>
    <row r="48" spans="5:9" x14ac:dyDescent="0.35">
      <c r="E48">
        <v>75</v>
      </c>
      <c r="F48">
        <f t="shared" si="0"/>
        <v>33</v>
      </c>
      <c r="G48">
        <v>42</v>
      </c>
      <c r="H48">
        <f t="shared" si="1"/>
        <v>0.54190149401395638</v>
      </c>
      <c r="I48">
        <f t="shared" si="2"/>
        <v>0.69444444444444442</v>
      </c>
    </row>
    <row r="49" spans="5:9" x14ac:dyDescent="0.35">
      <c r="E49">
        <v>75</v>
      </c>
      <c r="F49">
        <f t="shared" si="0"/>
        <v>31</v>
      </c>
      <c r="G49">
        <v>44</v>
      </c>
      <c r="H49">
        <f t="shared" si="1"/>
        <v>0.54388677205528557</v>
      </c>
      <c r="I49">
        <f t="shared" si="2"/>
        <v>0.70754716981132071</v>
      </c>
    </row>
    <row r="50" spans="5:9" x14ac:dyDescent="0.35">
      <c r="E50">
        <v>75</v>
      </c>
      <c r="F50">
        <f t="shared" si="0"/>
        <v>29</v>
      </c>
      <c r="G50">
        <v>46</v>
      </c>
      <c r="H50">
        <f t="shared" si="1"/>
        <v>0.54587065655419376</v>
      </c>
      <c r="I50">
        <f t="shared" si="2"/>
        <v>0.72115384615384615</v>
      </c>
    </row>
    <row r="51" spans="5:9" x14ac:dyDescent="0.35">
      <c r="E51">
        <v>75</v>
      </c>
      <c r="F51">
        <f t="shared" si="0"/>
        <v>27</v>
      </c>
      <c r="G51">
        <v>48</v>
      </c>
      <c r="H51">
        <f t="shared" si="1"/>
        <v>0.54785308556162748</v>
      </c>
      <c r="I51">
        <f t="shared" si="2"/>
        <v>0.73529411764705888</v>
      </c>
    </row>
    <row r="52" spans="5:9" x14ac:dyDescent="0.35">
      <c r="E52">
        <v>75</v>
      </c>
      <c r="F52">
        <f t="shared" si="0"/>
        <v>25</v>
      </c>
      <c r="G52">
        <v>50</v>
      </c>
      <c r="H52">
        <f t="shared" si="1"/>
        <v>0.54983399731247795</v>
      </c>
      <c r="I52">
        <f t="shared" si="2"/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16E6-C8FD-44AD-98F0-A28B0523F5C1}">
  <dimension ref="G3:Y34"/>
  <sheetViews>
    <sheetView workbookViewId="0">
      <selection activeCell="R22" sqref="R22"/>
    </sheetView>
  </sheetViews>
  <sheetFormatPr defaultRowHeight="14.5" x14ac:dyDescent="0.35"/>
  <sheetData>
    <row r="3" spans="7:25" x14ac:dyDescent="0.35">
      <c r="G3" t="s">
        <v>4</v>
      </c>
      <c r="H3" t="s">
        <v>6</v>
      </c>
      <c r="I3" t="s">
        <v>8</v>
      </c>
      <c r="J3" t="s">
        <v>10</v>
      </c>
      <c r="L3" t="s">
        <v>4</v>
      </c>
      <c r="M3" t="s">
        <v>6</v>
      </c>
      <c r="O3" t="s">
        <v>4</v>
      </c>
      <c r="P3" t="s">
        <v>8</v>
      </c>
      <c r="R3" t="s">
        <v>10</v>
      </c>
      <c r="S3" t="s">
        <v>4</v>
      </c>
      <c r="U3" t="s">
        <v>32</v>
      </c>
      <c r="V3" t="s">
        <v>4</v>
      </c>
      <c r="X3" t="s">
        <v>4</v>
      </c>
      <c r="Y3">
        <f>COUNTIF(L:L,X3)+COUNTIF(O:O,X3)+COUNTIF(R:R,X3)+COUNTIF(U:U,X3)</f>
        <v>2</v>
      </c>
    </row>
    <row r="4" spans="7:25" x14ac:dyDescent="0.35">
      <c r="G4" t="s">
        <v>5</v>
      </c>
      <c r="H4" t="s">
        <v>7</v>
      </c>
      <c r="I4" t="s">
        <v>9</v>
      </c>
      <c r="J4" t="s">
        <v>11</v>
      </c>
      <c r="L4" t="s">
        <v>7</v>
      </c>
      <c r="M4" t="s">
        <v>5</v>
      </c>
      <c r="O4" t="s">
        <v>9</v>
      </c>
      <c r="P4" t="s">
        <v>5</v>
      </c>
      <c r="R4" t="s">
        <v>5</v>
      </c>
      <c r="S4" t="s">
        <v>11</v>
      </c>
      <c r="U4" t="s">
        <v>5</v>
      </c>
      <c r="V4" t="s">
        <v>28</v>
      </c>
      <c r="X4" t="s">
        <v>5</v>
      </c>
      <c r="Y4">
        <f t="shared" ref="Y4:Y34" si="0">COUNTIF(L:L,X4)+COUNTIF(O:O,X4)+COUNTIF(R:R,X4)+COUNTIF(U:U,X4)</f>
        <v>2</v>
      </c>
    </row>
    <row r="5" spans="7:25" x14ac:dyDescent="0.35">
      <c r="G5" t="s">
        <v>12</v>
      </c>
      <c r="H5" t="s">
        <v>13</v>
      </c>
      <c r="I5" t="s">
        <v>14</v>
      </c>
      <c r="J5" t="s">
        <v>15</v>
      </c>
      <c r="L5" t="s">
        <v>12</v>
      </c>
      <c r="M5" t="s">
        <v>13</v>
      </c>
      <c r="O5" t="s">
        <v>12</v>
      </c>
      <c r="P5" t="s">
        <v>14</v>
      </c>
      <c r="R5" t="s">
        <v>15</v>
      </c>
      <c r="S5" t="s">
        <v>12</v>
      </c>
      <c r="U5" t="s">
        <v>24</v>
      </c>
      <c r="V5" t="s">
        <v>12</v>
      </c>
      <c r="X5" t="s">
        <v>12</v>
      </c>
      <c r="Y5">
        <f t="shared" si="0"/>
        <v>2</v>
      </c>
    </row>
    <row r="6" spans="7:25" x14ac:dyDescent="0.35">
      <c r="G6" t="s">
        <v>16</v>
      </c>
      <c r="H6" t="s">
        <v>17</v>
      </c>
      <c r="I6" t="s">
        <v>18</v>
      </c>
      <c r="J6" t="s">
        <v>19</v>
      </c>
      <c r="L6" t="s">
        <v>17</v>
      </c>
      <c r="M6" t="s">
        <v>16</v>
      </c>
      <c r="O6" t="s">
        <v>18</v>
      </c>
      <c r="P6" t="s">
        <v>16</v>
      </c>
      <c r="R6" t="s">
        <v>16</v>
      </c>
      <c r="S6" t="s">
        <v>19</v>
      </c>
      <c r="U6" t="s">
        <v>16</v>
      </c>
      <c r="V6" t="s">
        <v>20</v>
      </c>
      <c r="X6" t="s">
        <v>16</v>
      </c>
      <c r="Y6">
        <f t="shared" si="0"/>
        <v>2</v>
      </c>
    </row>
    <row r="7" spans="7:25" x14ac:dyDescent="0.35">
      <c r="G7" t="s">
        <v>20</v>
      </c>
      <c r="H7" t="s">
        <v>21</v>
      </c>
      <c r="I7" t="s">
        <v>22</v>
      </c>
      <c r="J7" t="s">
        <v>23</v>
      </c>
      <c r="L7" t="s">
        <v>20</v>
      </c>
      <c r="M7" t="s">
        <v>21</v>
      </c>
      <c r="O7" t="s">
        <v>20</v>
      </c>
      <c r="P7" t="s">
        <v>22</v>
      </c>
      <c r="R7" t="s">
        <v>23</v>
      </c>
      <c r="S7" t="s">
        <v>20</v>
      </c>
      <c r="U7" t="s">
        <v>6</v>
      </c>
      <c r="V7" t="s">
        <v>33</v>
      </c>
      <c r="X7" t="s">
        <v>20</v>
      </c>
      <c r="Y7">
        <f t="shared" si="0"/>
        <v>2</v>
      </c>
    </row>
    <row r="8" spans="7:25" x14ac:dyDescent="0.35">
      <c r="G8" t="s">
        <v>24</v>
      </c>
      <c r="H8" t="s">
        <v>25</v>
      </c>
      <c r="I8" t="s">
        <v>26</v>
      </c>
      <c r="J8" t="s">
        <v>27</v>
      </c>
      <c r="L8" t="s">
        <v>25</v>
      </c>
      <c r="M8" t="s">
        <v>24</v>
      </c>
      <c r="O8" t="s">
        <v>26</v>
      </c>
      <c r="P8" t="s">
        <v>24</v>
      </c>
      <c r="R8" t="s">
        <v>24</v>
      </c>
      <c r="S8" t="s">
        <v>27</v>
      </c>
      <c r="U8" t="s">
        <v>29</v>
      </c>
      <c r="V8" t="s">
        <v>7</v>
      </c>
      <c r="X8" t="s">
        <v>24</v>
      </c>
      <c r="Y8">
        <f t="shared" si="0"/>
        <v>2</v>
      </c>
    </row>
    <row r="9" spans="7:25" x14ac:dyDescent="0.35">
      <c r="G9" t="s">
        <v>28</v>
      </c>
      <c r="H9" t="s">
        <v>29</v>
      </c>
      <c r="I9" t="s">
        <v>30</v>
      </c>
      <c r="J9" t="s">
        <v>31</v>
      </c>
      <c r="L9" t="s">
        <v>28</v>
      </c>
      <c r="M9" t="s">
        <v>29</v>
      </c>
      <c r="O9" t="s">
        <v>28</v>
      </c>
      <c r="P9" t="s">
        <v>30</v>
      </c>
      <c r="R9" t="s">
        <v>31</v>
      </c>
      <c r="S9" t="s">
        <v>28</v>
      </c>
      <c r="U9" t="s">
        <v>13</v>
      </c>
      <c r="V9" t="s">
        <v>25</v>
      </c>
      <c r="X9" t="s">
        <v>28</v>
      </c>
      <c r="Y9">
        <f t="shared" si="0"/>
        <v>2</v>
      </c>
    </row>
    <row r="10" spans="7:25" x14ac:dyDescent="0.35">
      <c r="G10" t="s">
        <v>32</v>
      </c>
      <c r="H10" t="s">
        <v>33</v>
      </c>
      <c r="I10" t="s">
        <v>34</v>
      </c>
      <c r="J10" t="s">
        <v>35</v>
      </c>
      <c r="L10" t="s">
        <v>33</v>
      </c>
      <c r="M10" t="s">
        <v>32</v>
      </c>
      <c r="O10" t="s">
        <v>34</v>
      </c>
      <c r="P10" t="s">
        <v>32</v>
      </c>
      <c r="R10" t="s">
        <v>32</v>
      </c>
      <c r="S10" t="s">
        <v>35</v>
      </c>
      <c r="U10" t="s">
        <v>21</v>
      </c>
      <c r="V10" t="s">
        <v>17</v>
      </c>
      <c r="X10" t="s">
        <v>32</v>
      </c>
      <c r="Y10">
        <f t="shared" si="0"/>
        <v>2</v>
      </c>
    </row>
    <row r="11" spans="7:25" x14ac:dyDescent="0.35">
      <c r="L11" t="s">
        <v>8</v>
      </c>
      <c r="M11" t="s">
        <v>10</v>
      </c>
      <c r="O11" t="s">
        <v>6</v>
      </c>
      <c r="P11" t="s">
        <v>10</v>
      </c>
      <c r="R11" t="s">
        <v>8</v>
      </c>
      <c r="S11" t="s">
        <v>6</v>
      </c>
      <c r="U11" t="s">
        <v>34</v>
      </c>
      <c r="V11" t="s">
        <v>8</v>
      </c>
      <c r="X11" t="s">
        <v>6</v>
      </c>
      <c r="Y11">
        <f t="shared" si="0"/>
        <v>2</v>
      </c>
    </row>
    <row r="12" spans="7:25" x14ac:dyDescent="0.35">
      <c r="L12" t="s">
        <v>11</v>
      </c>
      <c r="M12" t="s">
        <v>9</v>
      </c>
      <c r="O12" t="s">
        <v>11</v>
      </c>
      <c r="P12" t="s">
        <v>7</v>
      </c>
      <c r="R12" t="s">
        <v>7</v>
      </c>
      <c r="S12" t="s">
        <v>9</v>
      </c>
      <c r="U12" t="s">
        <v>9</v>
      </c>
      <c r="V12" t="s">
        <v>30</v>
      </c>
      <c r="X12" t="s">
        <v>7</v>
      </c>
      <c r="Y12">
        <f t="shared" si="0"/>
        <v>2</v>
      </c>
    </row>
    <row r="13" spans="7:25" x14ac:dyDescent="0.35">
      <c r="L13" t="s">
        <v>14</v>
      </c>
      <c r="M13" t="s">
        <v>15</v>
      </c>
      <c r="O13" t="s">
        <v>13</v>
      </c>
      <c r="P13" t="s">
        <v>15</v>
      </c>
      <c r="R13" t="s">
        <v>14</v>
      </c>
      <c r="S13" t="s">
        <v>13</v>
      </c>
      <c r="U13" t="s">
        <v>26</v>
      </c>
      <c r="V13" t="s">
        <v>14</v>
      </c>
      <c r="X13" t="s">
        <v>13</v>
      </c>
      <c r="Y13">
        <f t="shared" si="0"/>
        <v>2</v>
      </c>
    </row>
    <row r="14" spans="7:25" x14ac:dyDescent="0.35">
      <c r="L14" t="s">
        <v>19</v>
      </c>
      <c r="M14" t="s">
        <v>18</v>
      </c>
      <c r="O14" t="s">
        <v>19</v>
      </c>
      <c r="P14" t="s">
        <v>17</v>
      </c>
      <c r="R14" t="s">
        <v>17</v>
      </c>
      <c r="S14" t="s">
        <v>18</v>
      </c>
      <c r="U14" t="s">
        <v>18</v>
      </c>
      <c r="V14" t="s">
        <v>22</v>
      </c>
      <c r="X14" t="s">
        <v>17</v>
      </c>
      <c r="Y14">
        <f t="shared" si="0"/>
        <v>2</v>
      </c>
    </row>
    <row r="15" spans="7:25" x14ac:dyDescent="0.35">
      <c r="L15" t="s">
        <v>22</v>
      </c>
      <c r="M15" t="s">
        <v>23</v>
      </c>
      <c r="O15" t="s">
        <v>21</v>
      </c>
      <c r="P15" t="s">
        <v>23</v>
      </c>
      <c r="R15" t="s">
        <v>22</v>
      </c>
      <c r="S15" t="s">
        <v>21</v>
      </c>
      <c r="U15" t="s">
        <v>10</v>
      </c>
      <c r="V15" t="s">
        <v>35</v>
      </c>
      <c r="X15" t="s">
        <v>21</v>
      </c>
      <c r="Y15">
        <f t="shared" si="0"/>
        <v>2</v>
      </c>
    </row>
    <row r="16" spans="7:25" x14ac:dyDescent="0.35">
      <c r="L16" t="s">
        <v>27</v>
      </c>
      <c r="M16" t="s">
        <v>26</v>
      </c>
      <c r="O16" t="s">
        <v>27</v>
      </c>
      <c r="P16" t="s">
        <v>25</v>
      </c>
      <c r="R16" t="s">
        <v>25</v>
      </c>
      <c r="S16" t="s">
        <v>26</v>
      </c>
      <c r="U16" t="s">
        <v>31</v>
      </c>
      <c r="V16" t="s">
        <v>11</v>
      </c>
      <c r="X16" t="s">
        <v>25</v>
      </c>
      <c r="Y16">
        <f t="shared" si="0"/>
        <v>2</v>
      </c>
    </row>
    <row r="17" spans="12:25" x14ac:dyDescent="0.35">
      <c r="L17" t="s">
        <v>30</v>
      </c>
      <c r="M17" t="s">
        <v>31</v>
      </c>
      <c r="O17" t="s">
        <v>29</v>
      </c>
      <c r="P17" t="s">
        <v>31</v>
      </c>
      <c r="R17" t="s">
        <v>30</v>
      </c>
      <c r="S17" t="s">
        <v>29</v>
      </c>
      <c r="U17" t="s">
        <v>15</v>
      </c>
      <c r="V17" t="s">
        <v>27</v>
      </c>
      <c r="X17" t="s">
        <v>29</v>
      </c>
      <c r="Y17">
        <f t="shared" si="0"/>
        <v>2</v>
      </c>
    </row>
    <row r="18" spans="12:25" x14ac:dyDescent="0.35">
      <c r="L18" t="s">
        <v>35</v>
      </c>
      <c r="M18" t="s">
        <v>34</v>
      </c>
      <c r="O18" t="s">
        <v>35</v>
      </c>
      <c r="P18" t="s">
        <v>33</v>
      </c>
      <c r="R18" t="s">
        <v>33</v>
      </c>
      <c r="S18" t="s">
        <v>34</v>
      </c>
      <c r="U18" t="s">
        <v>23</v>
      </c>
      <c r="V18" t="s">
        <v>19</v>
      </c>
      <c r="X18" t="s">
        <v>33</v>
      </c>
      <c r="Y18">
        <f t="shared" si="0"/>
        <v>2</v>
      </c>
    </row>
    <row r="19" spans="12:25" x14ac:dyDescent="0.35">
      <c r="X19" t="s">
        <v>8</v>
      </c>
      <c r="Y19">
        <f t="shared" si="0"/>
        <v>2</v>
      </c>
    </row>
    <row r="20" spans="12:25" x14ac:dyDescent="0.35">
      <c r="X20" t="s">
        <v>9</v>
      </c>
      <c r="Y20">
        <f t="shared" si="0"/>
        <v>2</v>
      </c>
    </row>
    <row r="21" spans="12:25" x14ac:dyDescent="0.35">
      <c r="X21" t="s">
        <v>14</v>
      </c>
      <c r="Y21">
        <f t="shared" si="0"/>
        <v>2</v>
      </c>
    </row>
    <row r="22" spans="12:25" x14ac:dyDescent="0.35">
      <c r="X22" t="s">
        <v>18</v>
      </c>
      <c r="Y22">
        <f t="shared" si="0"/>
        <v>2</v>
      </c>
    </row>
    <row r="23" spans="12:25" x14ac:dyDescent="0.35">
      <c r="X23" t="s">
        <v>22</v>
      </c>
      <c r="Y23">
        <f t="shared" si="0"/>
        <v>2</v>
      </c>
    </row>
    <row r="24" spans="12:25" x14ac:dyDescent="0.35">
      <c r="X24" t="s">
        <v>26</v>
      </c>
      <c r="Y24">
        <f t="shared" si="0"/>
        <v>2</v>
      </c>
    </row>
    <row r="25" spans="12:25" x14ac:dyDescent="0.35">
      <c r="X25" t="s">
        <v>30</v>
      </c>
      <c r="Y25">
        <f t="shared" si="0"/>
        <v>2</v>
      </c>
    </row>
    <row r="26" spans="12:25" x14ac:dyDescent="0.35">
      <c r="X26" t="s">
        <v>34</v>
      </c>
      <c r="Y26">
        <f t="shared" si="0"/>
        <v>2</v>
      </c>
    </row>
    <row r="27" spans="12:25" x14ac:dyDescent="0.35">
      <c r="X27" t="s">
        <v>10</v>
      </c>
      <c r="Y27">
        <f t="shared" si="0"/>
        <v>2</v>
      </c>
    </row>
    <row r="28" spans="12:25" x14ac:dyDescent="0.35">
      <c r="X28" t="s">
        <v>11</v>
      </c>
      <c r="Y28">
        <f t="shared" si="0"/>
        <v>2</v>
      </c>
    </row>
    <row r="29" spans="12:25" x14ac:dyDescent="0.35">
      <c r="X29" t="s">
        <v>15</v>
      </c>
      <c r="Y29">
        <f t="shared" si="0"/>
        <v>2</v>
      </c>
    </row>
    <row r="30" spans="12:25" x14ac:dyDescent="0.35">
      <c r="X30" t="s">
        <v>19</v>
      </c>
      <c r="Y30">
        <f t="shared" si="0"/>
        <v>2</v>
      </c>
    </row>
    <row r="31" spans="12:25" x14ac:dyDescent="0.35">
      <c r="X31" t="s">
        <v>23</v>
      </c>
      <c r="Y31">
        <f t="shared" si="0"/>
        <v>2</v>
      </c>
    </row>
    <row r="32" spans="12:25" x14ac:dyDescent="0.35">
      <c r="X32" t="s">
        <v>27</v>
      </c>
      <c r="Y32">
        <f t="shared" si="0"/>
        <v>2</v>
      </c>
    </row>
    <row r="33" spans="24:25" x14ac:dyDescent="0.35">
      <c r="X33" t="s">
        <v>31</v>
      </c>
      <c r="Y33">
        <f t="shared" si="0"/>
        <v>2</v>
      </c>
    </row>
    <row r="34" spans="24:25" x14ac:dyDescent="0.35">
      <c r="X34" t="s">
        <v>35</v>
      </c>
      <c r="Y34">
        <f t="shared" si="0"/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19DA-438D-46BA-9DB5-87A6216BCDB7}">
  <dimension ref="D2:N41"/>
  <sheetViews>
    <sheetView tabSelected="1" topLeftCell="A7" workbookViewId="0">
      <selection activeCell="K18" sqref="K18"/>
    </sheetView>
  </sheetViews>
  <sheetFormatPr defaultRowHeight="14.5" x14ac:dyDescent="0.35"/>
  <sheetData>
    <row r="2" spans="4:14" x14ac:dyDescent="0.35">
      <c r="D2" t="s">
        <v>37</v>
      </c>
      <c r="E2" t="s">
        <v>41</v>
      </c>
      <c r="F2">
        <v>0.25</v>
      </c>
      <c r="G2">
        <v>0.375</v>
      </c>
      <c r="H2">
        <v>0.5</v>
      </c>
      <c r="I2">
        <v>0.55000000000000004</v>
      </c>
      <c r="J2">
        <v>0.57999999999999996</v>
      </c>
    </row>
    <row r="3" spans="4:14" x14ac:dyDescent="0.35">
      <c r="D3" t="s">
        <v>38</v>
      </c>
    </row>
    <row r="4" spans="4:14" x14ac:dyDescent="0.35">
      <c r="D4" t="s">
        <v>39</v>
      </c>
    </row>
    <row r="5" spans="4:14" x14ac:dyDescent="0.35">
      <c r="D5" t="s">
        <v>40</v>
      </c>
      <c r="F5" s="1">
        <v>0</v>
      </c>
      <c r="G5" s="1">
        <v>0.05</v>
      </c>
      <c r="H5" s="1">
        <v>0.1</v>
      </c>
      <c r="I5" s="1">
        <v>0.6</v>
      </c>
      <c r="J5" s="1">
        <v>0.7</v>
      </c>
      <c r="K5" s="1">
        <v>0.8</v>
      </c>
      <c r="L5" s="1">
        <v>0.9</v>
      </c>
      <c r="M5" s="1">
        <v>0.95</v>
      </c>
      <c r="N5" s="1">
        <v>0.99</v>
      </c>
    </row>
    <row r="6" spans="4:14" x14ac:dyDescent="0.35">
      <c r="D6" t="s">
        <v>36</v>
      </c>
      <c r="F6" s="1">
        <v>0.05</v>
      </c>
      <c r="G6" s="1">
        <v>0.1</v>
      </c>
      <c r="H6" s="1">
        <v>0.6</v>
      </c>
      <c r="I6" s="1">
        <v>0.7</v>
      </c>
      <c r="J6" s="1">
        <v>0.8</v>
      </c>
      <c r="K6" s="1">
        <v>0.9</v>
      </c>
      <c r="L6" s="1">
        <v>0.95</v>
      </c>
      <c r="M6" s="1">
        <v>0.99</v>
      </c>
      <c r="N6" s="1">
        <v>1</v>
      </c>
    </row>
    <row r="7" spans="4:14" x14ac:dyDescent="0.35">
      <c r="D7">
        <v>1</v>
      </c>
      <c r="F7">
        <v>-0.5</v>
      </c>
      <c r="G7">
        <v>-0.5</v>
      </c>
      <c r="H7">
        <v>0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</row>
    <row r="8" spans="4:14" x14ac:dyDescent="0.35">
      <c r="D8">
        <v>2</v>
      </c>
      <c r="F8">
        <v>-0.5</v>
      </c>
      <c r="G8">
        <v>-0.5</v>
      </c>
      <c r="H8">
        <v>0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</row>
    <row r="9" spans="4:14" x14ac:dyDescent="0.35">
      <c r="D9">
        <v>3</v>
      </c>
      <c r="F9">
        <v>-0.5</v>
      </c>
      <c r="G9">
        <v>-0.5</v>
      </c>
      <c r="H9">
        <v>0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</row>
    <row r="10" spans="4:14" x14ac:dyDescent="0.35">
      <c r="D10">
        <v>4</v>
      </c>
      <c r="F10">
        <v>-0.5</v>
      </c>
      <c r="G10">
        <v>-0.5</v>
      </c>
      <c r="H10">
        <v>0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4:14" x14ac:dyDescent="0.35">
      <c r="D11">
        <v>5</v>
      </c>
      <c r="F11">
        <v>-0.5</v>
      </c>
      <c r="G11">
        <v>-0.5</v>
      </c>
      <c r="H11">
        <v>0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4:14" x14ac:dyDescent="0.35">
      <c r="D12">
        <v>6</v>
      </c>
      <c r="F12">
        <v>-0.5</v>
      </c>
      <c r="G12">
        <v>-0.5</v>
      </c>
      <c r="H12">
        <v>0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4:14" x14ac:dyDescent="0.35">
      <c r="D13">
        <v>7</v>
      </c>
      <c r="F13">
        <v>-0.5</v>
      </c>
      <c r="G13">
        <v>-0.5</v>
      </c>
      <c r="H13">
        <v>0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4:14" x14ac:dyDescent="0.35">
      <c r="D14">
        <v>8</v>
      </c>
      <c r="F14">
        <v>-0.5</v>
      </c>
      <c r="G14">
        <v>-0.5</v>
      </c>
      <c r="H14">
        <v>0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4:14" x14ac:dyDescent="0.35">
      <c r="D15">
        <v>9</v>
      </c>
      <c r="F15">
        <v>-0.5</v>
      </c>
      <c r="G15">
        <v>-0.5</v>
      </c>
      <c r="H15">
        <v>0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4:14" x14ac:dyDescent="0.35">
      <c r="D16">
        <v>10</v>
      </c>
      <c r="F16">
        <v>-0.5</v>
      </c>
      <c r="G16">
        <v>-0.5</v>
      </c>
      <c r="H16">
        <v>0</v>
      </c>
      <c r="I16">
        <v>0.5</v>
      </c>
      <c r="J16">
        <v>1</v>
      </c>
      <c r="K16">
        <v>1.5</v>
      </c>
      <c r="L16">
        <v>1.5</v>
      </c>
      <c r="M16">
        <v>1.5</v>
      </c>
      <c r="N16">
        <v>2</v>
      </c>
    </row>
    <row r="17" spans="4:14" x14ac:dyDescent="0.35">
      <c r="D17">
        <v>11</v>
      </c>
      <c r="F17">
        <v>-0.5</v>
      </c>
      <c r="G17">
        <v>-0.5</v>
      </c>
      <c r="H17">
        <v>0</v>
      </c>
      <c r="I17">
        <v>0.5</v>
      </c>
      <c r="J17">
        <v>1</v>
      </c>
      <c r="K17">
        <v>1.5</v>
      </c>
      <c r="L17">
        <v>1.5</v>
      </c>
      <c r="M17">
        <v>1.5</v>
      </c>
      <c r="N17">
        <v>2</v>
      </c>
    </row>
    <row r="18" spans="4:14" x14ac:dyDescent="0.35">
      <c r="D18">
        <v>12</v>
      </c>
      <c r="F18">
        <v>-0.5</v>
      </c>
      <c r="G18">
        <v>-0.5</v>
      </c>
      <c r="H18">
        <v>0</v>
      </c>
      <c r="I18">
        <v>0.5</v>
      </c>
      <c r="J18">
        <v>1</v>
      </c>
      <c r="K18">
        <v>1.5</v>
      </c>
      <c r="L18">
        <v>1.5</v>
      </c>
      <c r="M18">
        <v>1.5</v>
      </c>
      <c r="N18">
        <v>2</v>
      </c>
    </row>
    <row r="19" spans="4:14" x14ac:dyDescent="0.35">
      <c r="D19">
        <v>13</v>
      </c>
      <c r="F19">
        <v>-0.5</v>
      </c>
      <c r="G19">
        <v>-0.5</v>
      </c>
      <c r="H19">
        <v>0</v>
      </c>
      <c r="I19">
        <v>0.5</v>
      </c>
      <c r="J19">
        <v>1</v>
      </c>
      <c r="K19">
        <v>1.5</v>
      </c>
      <c r="L19">
        <v>1.5</v>
      </c>
      <c r="M19">
        <v>1.5</v>
      </c>
      <c r="N19">
        <v>2</v>
      </c>
    </row>
    <row r="20" spans="4:14" x14ac:dyDescent="0.35">
      <c r="D20">
        <v>14</v>
      </c>
      <c r="F20">
        <v>-0.5</v>
      </c>
      <c r="G20">
        <v>-0.5</v>
      </c>
      <c r="H20">
        <v>0</v>
      </c>
      <c r="I20">
        <v>0.5</v>
      </c>
      <c r="J20">
        <v>1</v>
      </c>
      <c r="K20">
        <v>1.5</v>
      </c>
      <c r="L20">
        <v>1.5</v>
      </c>
      <c r="M20">
        <v>1.5</v>
      </c>
      <c r="N20">
        <v>2</v>
      </c>
    </row>
    <row r="21" spans="4:14" x14ac:dyDescent="0.35">
      <c r="D21">
        <v>15</v>
      </c>
      <c r="F21">
        <v>-1</v>
      </c>
      <c r="G21">
        <v>-0.5</v>
      </c>
      <c r="H21">
        <v>0</v>
      </c>
      <c r="I21">
        <v>0.5</v>
      </c>
      <c r="J21">
        <v>1</v>
      </c>
      <c r="K21">
        <v>1.5</v>
      </c>
      <c r="L21">
        <v>1.5</v>
      </c>
      <c r="M21">
        <v>2</v>
      </c>
      <c r="N21">
        <v>2.5</v>
      </c>
    </row>
    <row r="22" spans="4:14" x14ac:dyDescent="0.35">
      <c r="D22">
        <v>16</v>
      </c>
      <c r="F22">
        <v>-1</v>
      </c>
      <c r="G22">
        <v>-0.5</v>
      </c>
      <c r="H22">
        <v>0</v>
      </c>
      <c r="I22">
        <v>0.5</v>
      </c>
      <c r="J22">
        <v>1</v>
      </c>
      <c r="K22">
        <v>1.5</v>
      </c>
      <c r="L22">
        <v>1.5</v>
      </c>
      <c r="M22">
        <v>2</v>
      </c>
      <c r="N22">
        <v>2.5</v>
      </c>
    </row>
    <row r="23" spans="4:14" x14ac:dyDescent="0.35">
      <c r="D23">
        <v>17</v>
      </c>
      <c r="F23">
        <v>-1</v>
      </c>
      <c r="G23">
        <v>-0.5</v>
      </c>
      <c r="H23">
        <v>0</v>
      </c>
      <c r="I23">
        <v>0.5</v>
      </c>
      <c r="J23">
        <v>1</v>
      </c>
      <c r="K23">
        <v>1.5</v>
      </c>
      <c r="L23">
        <v>1.5</v>
      </c>
      <c r="M23">
        <v>2</v>
      </c>
      <c r="N23">
        <v>2.5</v>
      </c>
    </row>
    <row r="24" spans="4:14" x14ac:dyDescent="0.35">
      <c r="D24">
        <v>18</v>
      </c>
      <c r="F24">
        <v>-1</v>
      </c>
      <c r="G24">
        <v>-0.5</v>
      </c>
      <c r="H24">
        <v>0</v>
      </c>
      <c r="I24">
        <v>0.5</v>
      </c>
      <c r="J24">
        <v>1</v>
      </c>
      <c r="K24">
        <v>1.5</v>
      </c>
      <c r="L24">
        <v>1.5</v>
      </c>
      <c r="M24">
        <v>2</v>
      </c>
      <c r="N24">
        <v>2.5</v>
      </c>
    </row>
    <row r="25" spans="4:14" x14ac:dyDescent="0.35">
      <c r="D25">
        <v>19</v>
      </c>
      <c r="F25">
        <v>-1</v>
      </c>
      <c r="G25">
        <v>-0.5</v>
      </c>
      <c r="H25">
        <v>0</v>
      </c>
      <c r="I25">
        <v>0.5</v>
      </c>
      <c r="J25">
        <v>1</v>
      </c>
      <c r="K25">
        <v>1.5</v>
      </c>
      <c r="L25">
        <v>1.5</v>
      </c>
      <c r="M25">
        <v>2</v>
      </c>
      <c r="N25">
        <v>2.5</v>
      </c>
    </row>
    <row r="26" spans="4:14" x14ac:dyDescent="0.35">
      <c r="D26">
        <v>20</v>
      </c>
      <c r="F26">
        <v>-1</v>
      </c>
      <c r="G26">
        <v>-0.5</v>
      </c>
      <c r="H26">
        <v>0</v>
      </c>
      <c r="I26">
        <v>0.5</v>
      </c>
      <c r="J26">
        <v>1</v>
      </c>
      <c r="K26">
        <v>1.5</v>
      </c>
      <c r="L26">
        <v>2</v>
      </c>
      <c r="M26">
        <v>2.5</v>
      </c>
      <c r="N26">
        <v>3</v>
      </c>
    </row>
    <row r="27" spans="4:14" x14ac:dyDescent="0.35">
      <c r="D27">
        <v>21</v>
      </c>
      <c r="F27">
        <v>-1</v>
      </c>
      <c r="G27">
        <v>-0.5</v>
      </c>
      <c r="H27">
        <v>0</v>
      </c>
      <c r="I27">
        <v>0.5</v>
      </c>
      <c r="J27">
        <v>1</v>
      </c>
      <c r="K27">
        <v>1.5</v>
      </c>
      <c r="L27">
        <v>2</v>
      </c>
      <c r="M27">
        <v>2.5</v>
      </c>
      <c r="N27">
        <v>3</v>
      </c>
    </row>
    <row r="28" spans="4:14" x14ac:dyDescent="0.35">
      <c r="D28">
        <v>22</v>
      </c>
      <c r="F28">
        <v>-1</v>
      </c>
      <c r="G28">
        <v>-0.5</v>
      </c>
      <c r="H28">
        <v>0</v>
      </c>
      <c r="I28">
        <v>0.5</v>
      </c>
      <c r="J28">
        <v>1</v>
      </c>
      <c r="K28">
        <v>1.5</v>
      </c>
      <c r="L28">
        <v>2</v>
      </c>
      <c r="M28">
        <v>2.5</v>
      </c>
      <c r="N28">
        <v>3</v>
      </c>
    </row>
    <row r="29" spans="4:14" x14ac:dyDescent="0.35">
      <c r="D29">
        <v>23</v>
      </c>
      <c r="F29">
        <v>-1</v>
      </c>
      <c r="G29">
        <v>-0.5</v>
      </c>
      <c r="H29">
        <v>0</v>
      </c>
      <c r="I29">
        <v>0.5</v>
      </c>
      <c r="J29">
        <v>1</v>
      </c>
      <c r="K29">
        <v>1.5</v>
      </c>
      <c r="L29">
        <v>2</v>
      </c>
      <c r="M29">
        <v>2.5</v>
      </c>
      <c r="N29">
        <v>3</v>
      </c>
    </row>
    <row r="30" spans="4:14" x14ac:dyDescent="0.35">
      <c r="D30">
        <v>24</v>
      </c>
      <c r="F30">
        <v>-1</v>
      </c>
      <c r="G30">
        <v>-0.5</v>
      </c>
      <c r="H30">
        <v>0</v>
      </c>
      <c r="I30">
        <v>0.5</v>
      </c>
      <c r="J30">
        <v>1</v>
      </c>
      <c r="K30">
        <v>1.5</v>
      </c>
      <c r="L30">
        <v>2</v>
      </c>
      <c r="M30">
        <v>2.5</v>
      </c>
      <c r="N30">
        <v>3</v>
      </c>
    </row>
    <row r="31" spans="4:14" x14ac:dyDescent="0.35">
      <c r="D31">
        <v>25</v>
      </c>
      <c r="F31">
        <v>-0.5</v>
      </c>
      <c r="G31">
        <v>0</v>
      </c>
      <c r="H31">
        <v>0.5</v>
      </c>
      <c r="I31">
        <v>1</v>
      </c>
      <c r="J31">
        <v>1.5</v>
      </c>
      <c r="K31">
        <v>2</v>
      </c>
      <c r="L31">
        <v>2.5</v>
      </c>
      <c r="M31">
        <v>3</v>
      </c>
      <c r="N31">
        <v>3</v>
      </c>
    </row>
    <row r="32" spans="4:14" x14ac:dyDescent="0.35">
      <c r="D32">
        <v>26</v>
      </c>
      <c r="F32">
        <v>-0.5</v>
      </c>
      <c r="G32">
        <v>0</v>
      </c>
      <c r="H32">
        <v>0.5</v>
      </c>
      <c r="I32">
        <v>1</v>
      </c>
      <c r="J32">
        <v>1.5</v>
      </c>
      <c r="K32">
        <v>2</v>
      </c>
      <c r="L32">
        <v>2.5</v>
      </c>
      <c r="M32">
        <v>3</v>
      </c>
      <c r="N32">
        <v>3</v>
      </c>
    </row>
    <row r="33" spans="4:14" x14ac:dyDescent="0.35">
      <c r="D33">
        <v>27</v>
      </c>
      <c r="F33">
        <v>-0.5</v>
      </c>
      <c r="G33">
        <v>0</v>
      </c>
      <c r="H33">
        <v>0.5</v>
      </c>
      <c r="I33">
        <v>1</v>
      </c>
      <c r="J33">
        <v>1.5</v>
      </c>
      <c r="K33">
        <v>2</v>
      </c>
      <c r="L33">
        <v>2.5</v>
      </c>
      <c r="M33">
        <v>3</v>
      </c>
      <c r="N33">
        <v>3</v>
      </c>
    </row>
    <row r="34" spans="4:14" x14ac:dyDescent="0.35">
      <c r="D34">
        <v>28</v>
      </c>
      <c r="F34">
        <v>-0.5</v>
      </c>
      <c r="G34">
        <v>0</v>
      </c>
      <c r="H34">
        <v>0.5</v>
      </c>
      <c r="I34">
        <v>1</v>
      </c>
      <c r="J34">
        <v>1.5</v>
      </c>
      <c r="K34">
        <v>2</v>
      </c>
      <c r="L34">
        <v>2.5</v>
      </c>
      <c r="M34">
        <v>3</v>
      </c>
      <c r="N34">
        <v>3</v>
      </c>
    </row>
    <row r="35" spans="4:14" x14ac:dyDescent="0.35">
      <c r="D35">
        <v>29</v>
      </c>
      <c r="F35">
        <v>-0.5</v>
      </c>
      <c r="G35">
        <v>0</v>
      </c>
      <c r="H35">
        <v>0.5</v>
      </c>
      <c r="I35">
        <v>1</v>
      </c>
      <c r="J35">
        <v>1.5</v>
      </c>
      <c r="K35">
        <v>2</v>
      </c>
      <c r="L35">
        <v>2.5</v>
      </c>
      <c r="M35">
        <v>3</v>
      </c>
      <c r="N35">
        <v>3</v>
      </c>
    </row>
    <row r="36" spans="4:14" x14ac:dyDescent="0.35">
      <c r="D36">
        <v>30</v>
      </c>
      <c r="F36">
        <v>-0.5</v>
      </c>
      <c r="G36">
        <v>0</v>
      </c>
      <c r="H36">
        <v>0.5</v>
      </c>
      <c r="I36">
        <v>1</v>
      </c>
      <c r="J36">
        <v>1.5</v>
      </c>
      <c r="K36">
        <v>2</v>
      </c>
      <c r="L36">
        <v>2.5</v>
      </c>
      <c r="M36">
        <v>3</v>
      </c>
      <c r="N36">
        <v>3</v>
      </c>
    </row>
    <row r="37" spans="4:14" x14ac:dyDescent="0.35">
      <c r="D37">
        <v>31</v>
      </c>
      <c r="F37">
        <v>-0.5</v>
      </c>
      <c r="G37">
        <v>0</v>
      </c>
      <c r="H37">
        <v>0.5</v>
      </c>
      <c r="I37">
        <v>1</v>
      </c>
      <c r="J37">
        <v>1.5</v>
      </c>
      <c r="K37">
        <v>2</v>
      </c>
      <c r="L37">
        <v>2.5</v>
      </c>
      <c r="M37">
        <v>3</v>
      </c>
      <c r="N37">
        <v>3</v>
      </c>
    </row>
    <row r="38" spans="4:14" x14ac:dyDescent="0.35">
      <c r="D38">
        <v>32</v>
      </c>
      <c r="F38">
        <v>-0.5</v>
      </c>
      <c r="G38">
        <v>0</v>
      </c>
      <c r="H38">
        <v>0.5</v>
      </c>
      <c r="I38">
        <v>1</v>
      </c>
      <c r="J38">
        <v>1.5</v>
      </c>
      <c r="K38">
        <v>2</v>
      </c>
      <c r="L38">
        <v>2.5</v>
      </c>
      <c r="M38">
        <v>3</v>
      </c>
      <c r="N38">
        <v>3</v>
      </c>
    </row>
    <row r="39" spans="4:14" x14ac:dyDescent="0.35">
      <c r="D39">
        <v>33</v>
      </c>
      <c r="F39">
        <v>-0.5</v>
      </c>
      <c r="G39">
        <v>0</v>
      </c>
      <c r="H39">
        <v>0.5</v>
      </c>
      <c r="I39">
        <v>1</v>
      </c>
      <c r="J39">
        <v>1.5</v>
      </c>
      <c r="K39">
        <v>2</v>
      </c>
      <c r="L39">
        <v>2.5</v>
      </c>
      <c r="M39">
        <v>3</v>
      </c>
      <c r="N39">
        <v>3</v>
      </c>
    </row>
    <row r="40" spans="4:14" x14ac:dyDescent="0.35">
      <c r="D40">
        <v>34</v>
      </c>
      <c r="F40">
        <v>-0.5</v>
      </c>
      <c r="G40">
        <v>0</v>
      </c>
      <c r="H40">
        <v>0.5</v>
      </c>
      <c r="I40">
        <v>1</v>
      </c>
      <c r="J40">
        <v>1.5</v>
      </c>
      <c r="K40">
        <v>2</v>
      </c>
      <c r="L40">
        <v>2.5</v>
      </c>
      <c r="M40">
        <v>3</v>
      </c>
      <c r="N40">
        <v>3</v>
      </c>
    </row>
    <row r="41" spans="4:14" x14ac:dyDescent="0.35">
      <c r="D41">
        <v>35</v>
      </c>
      <c r="F41">
        <v>-0.5</v>
      </c>
      <c r="G41">
        <v>0</v>
      </c>
      <c r="H41">
        <v>0.5</v>
      </c>
      <c r="I41">
        <v>1</v>
      </c>
      <c r="J41">
        <v>1.5</v>
      </c>
      <c r="K41">
        <v>2</v>
      </c>
      <c r="L41">
        <v>2.5</v>
      </c>
      <c r="M41">
        <v>3</v>
      </c>
      <c r="N41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HORTON, KENNETH W CTR USSF SpOC SpOC/S739</dc:creator>
  <cp:lastModifiedBy>HORTON, KENNETH W CTR USSF SpOC SpOC/S739</cp:lastModifiedBy>
  <dcterms:created xsi:type="dcterms:W3CDTF">2025-08-25T13:42:06Z</dcterms:created>
  <dcterms:modified xsi:type="dcterms:W3CDTF">2025-08-27T14:20:19Z</dcterms:modified>
</cp:coreProperties>
</file>